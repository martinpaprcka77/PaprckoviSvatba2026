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Úkoly" sheetId="1" state="visible" r:id="rId1"/>
    <sheet name="Rozpočet" sheetId="2" state="visible" r:id="rId2"/>
    <sheet name="Na osobu" sheetId="3" state="visible" r:id="rId3"/>
  </sheets>
  <definedNames>
    <definedName name="_xlnm._FilterDatabase" localSheetId="0" hidden="1">'Úkoly'!$A$1:$J$21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/>
    <font>
      <color rgb="000000FF"/>
    </font>
    <font>
      <color rgb="00808080"/>
    </font>
    <font>
      <b val="1"/>
    </font>
  </fonts>
  <fills count="4">
    <fill>
      <patternFill/>
    </fill>
    <fill>
      <patternFill patternType="gray125"/>
    </fill>
    <fill>
      <patternFill patternType="solid">
        <fgColor rgb="00722F37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4" fillId="3" borderId="1" pivotButton="0" quotePrefix="0" xfId="0"/>
    <xf numFmtId="3" fontId="4" fillId="3" borderId="1" pivotButton="0" quotePrefix="0" xfId="0"/>
    <xf numFmtId="0" fontId="2" fillId="0" borderId="1" pivotButton="0" quotePrefix="0" xfId="0"/>
    <xf numFmtId="3" fontId="3" fillId="0" borderId="1" pivotButton="0" quotePrefix="0" xfId="0"/>
    <xf numFmtId="0" fontId="1" fillId="2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5" fillId="0" borderId="1" pivotButton="0" quotePrefix="0" xfId="0"/>
    <xf numFmtId="3" fontId="5" fillId="0" borderId="1" pivotButton="0" quotePrefix="0" xfId="0"/>
  </cellXfs>
  <cellStyles count="1">
    <cellStyle name="Normal" xfId="0" builtinId="0" hidden="0"/>
  </cellStyles>
  <dxfs count="2">
    <dxf>
      <font>
        <b val="1"/>
      </font>
      <fill>
        <patternFill patternType="solid">
          <fgColor rgb="00FFC7CE"/>
        </patternFill>
      </fill>
    </dxf>
    <dxf>
      <font>
        <b val="1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50" customWidth="1" min="3" max="3"/>
    <col width="22" customWidth="1" min="4" max="4"/>
    <col width="14" customWidth="1" min="5" max="5"/>
    <col width="14" customWidth="1" min="6" max="6"/>
    <col width="16" customWidth="1" min="7" max="7"/>
    <col width="8" customWidth="1" min="8" max="8"/>
    <col width="20" customWidth="1" min="9" max="9"/>
    <col width="30" customWidth="1" min="10" max="10"/>
  </cols>
  <sheetData>
    <row r="1">
      <c r="A1" s="1" t="inlineStr">
        <is>
          <t>ID</t>
        </is>
      </c>
      <c r="B1" s="1" t="inlineStr">
        <is>
          <t>Termín</t>
        </is>
      </c>
      <c r="C1" s="1" t="inlineStr">
        <is>
          <t>Úkol</t>
        </is>
      </c>
      <c r="D1" s="1" t="inlineStr">
        <is>
          <t>Kdo</t>
        </is>
      </c>
      <c r="E1" s="1" t="inlineStr">
        <is>
          <t>Kategorie</t>
        </is>
      </c>
      <c r="F1" s="1" t="inlineStr">
        <is>
          <t>Plán (Kč)</t>
        </is>
      </c>
      <c r="G1" s="1" t="inlineStr">
        <is>
          <t>Skutečnost (Kč)</t>
        </is>
      </c>
      <c r="H1" s="1" t="inlineStr">
        <is>
          <t>Stav</t>
        </is>
      </c>
      <c r="I1" s="1" t="inlineStr">
        <is>
          <t>Timestamp</t>
        </is>
      </c>
      <c r="J1" s="1" t="inlineStr">
        <is>
          <t>Poznámka</t>
        </is>
      </c>
    </row>
    <row r="2">
      <c r="A2" s="2" t="n">
        <v>1</v>
      </c>
      <c r="B2" s="2" t="inlineStr">
        <is>
          <t>2026-05-29</t>
        </is>
      </c>
      <c r="C2" s="2" t="inlineStr">
        <is>
          <t>Termín na matrice + návštěva radnice + podání žádosti</t>
        </is>
      </c>
      <c r="D2" s="2" t="inlineStr">
        <is>
          <t>Mamka, Taťka</t>
        </is>
      </c>
      <c r="E2" s="2" t="inlineStr">
        <is>
          <t>mandatory</t>
        </is>
      </c>
      <c r="F2" s="3" t="n">
        <v>0</v>
      </c>
      <c r="G2" s="3" t="inlineStr"/>
      <c r="H2" s="2" t="inlineStr">
        <is>
          <t>✓</t>
        </is>
      </c>
      <c r="I2" s="2" t="inlineStr">
        <is>
          <t>2026-05-20T14:30</t>
        </is>
      </c>
      <c r="J2" s="2" t="inlineStr">
        <is>
          <t>Hotovo ✓ — Nová radnice Ostrava</t>
        </is>
      </c>
    </row>
    <row r="3">
      <c r="A3" s="4" t="n">
        <v>2</v>
      </c>
      <c r="B3" s="4" t="inlineStr">
        <is>
          <t>2026-07-15</t>
        </is>
      </c>
      <c r="C3" s="4" t="inlineStr">
        <is>
          <t>Prstýnky — nákup a vyzvednutí</t>
        </is>
      </c>
      <c r="D3" s="4" t="inlineStr">
        <is>
          <t>Taťka</t>
        </is>
      </c>
      <c r="E3" s="4" t="inlineStr">
        <is>
          <t>mandatory</t>
        </is>
      </c>
      <c r="F3" s="5" t="n">
        <v>8000</v>
      </c>
      <c r="G3" s="5" t="inlineStr"/>
      <c r="H3" s="4" t="inlineStr">
        <is>
          <t> </t>
        </is>
      </c>
      <c r="I3" s="4" t="inlineStr"/>
      <c r="J3" s="4" t="inlineStr"/>
    </row>
    <row r="4">
      <c r="A4" s="4" t="n">
        <v>3</v>
      </c>
      <c r="B4" s="4" t="inlineStr">
        <is>
          <t>2026-07-15</t>
        </is>
      </c>
      <c r="C4" s="4" t="inlineStr">
        <is>
          <t>Svatební šaty (Mamka)</t>
        </is>
      </c>
      <c r="D4" s="4" t="inlineStr">
        <is>
          <t>Mamka</t>
        </is>
      </c>
      <c r="E4" s="4" t="inlineStr">
        <is>
          <t>mandatory</t>
        </is>
      </c>
      <c r="F4" s="5" t="n">
        <v>12000</v>
      </c>
      <c r="G4" s="5" t="inlineStr"/>
      <c r="H4" s="4" t="inlineStr">
        <is>
          <t> </t>
        </is>
      </c>
      <c r="I4" s="4" t="inlineStr"/>
      <c r="J4" s="4" t="inlineStr"/>
    </row>
    <row r="5">
      <c r="A5" s="4" t="n">
        <v>4</v>
      </c>
      <c r="B5" s="4" t="inlineStr">
        <is>
          <t>2026-07-15</t>
        </is>
      </c>
      <c r="C5" s="4" t="inlineStr">
        <is>
          <t>Oblek a sako (Taťka)</t>
        </is>
      </c>
      <c r="D5" s="4" t="inlineStr">
        <is>
          <t>Taťka</t>
        </is>
      </c>
      <c r="E5" s="4" t="inlineStr">
        <is>
          <t>mandatory</t>
        </is>
      </c>
      <c r="F5" s="5" t="n">
        <v>6000</v>
      </c>
      <c r="G5" s="5" t="inlineStr"/>
      <c r="H5" s="4" t="inlineStr">
        <is>
          <t> </t>
        </is>
      </c>
      <c r="I5" s="4" t="inlineStr"/>
      <c r="J5" s="4" t="inlineStr"/>
    </row>
    <row r="6">
      <c r="A6" s="4" t="n">
        <v>5</v>
      </c>
      <c r="B6" s="4" t="inlineStr">
        <is>
          <t>2026-07-15</t>
        </is>
      </c>
      <c r="C6" s="4" t="inlineStr">
        <is>
          <t>Zlatá koliba — rezervace, smlouva, záloha</t>
        </is>
      </c>
      <c r="D6" s="4" t="inlineStr">
        <is>
          <t>Žanetka</t>
        </is>
      </c>
      <c r="E6" s="4" t="inlineStr">
        <is>
          <t>mandatory</t>
        </is>
      </c>
      <c r="F6" s="5" t="n">
        <v>15000</v>
      </c>
      <c r="G6" s="5" t="inlineStr"/>
      <c r="H6" s="4" t="inlineStr">
        <is>
          <t> </t>
        </is>
      </c>
      <c r="I6" s="4" t="inlineStr"/>
      <c r="J6" s="4" t="inlineStr">
        <is>
          <t>U Miloše, Karasova 1130/23</t>
        </is>
      </c>
    </row>
    <row r="7">
      <c r="A7" s="4" t="n">
        <v>6</v>
      </c>
      <c r="B7" s="4" t="inlineStr">
        <is>
          <t>2026-07-15</t>
        </is>
      </c>
      <c r="C7" s="4" t="inlineStr">
        <is>
          <t>Zlatá koliba — catering, menu, finální počet osob</t>
        </is>
      </c>
      <c r="D7" s="4" t="inlineStr">
        <is>
          <t>Žanetka</t>
        </is>
      </c>
      <c r="E7" s="4" t="inlineStr">
        <is>
          <t>mandatory</t>
        </is>
      </c>
      <c r="F7" s="5" t="n">
        <v>28000</v>
      </c>
      <c r="G7" s="5" t="inlineStr"/>
      <c r="H7" s="4" t="inlineStr">
        <is>
          <t> </t>
        </is>
      </c>
      <c r="I7" s="4" t="inlineStr"/>
      <c r="J7" s="4" t="inlineStr">
        <is>
          <t>30 lidí; polévka 95 Kč/os; druhé 275 Kč/os</t>
        </is>
      </c>
    </row>
    <row r="8">
      <c r="A8" s="2" t="n">
        <v>7</v>
      </c>
      <c r="B8" s="2" t="inlineStr">
        <is>
          <t>2026-05-29</t>
        </is>
      </c>
      <c r="C8" s="2" t="inlineStr">
        <is>
          <t>Svědci — oslovení a potvrzení (Kikinka + Žanetka)</t>
        </is>
      </c>
      <c r="D8" s="2" t="inlineStr">
        <is>
          <t>Mamka</t>
        </is>
      </c>
      <c r="E8" s="2" t="inlineStr">
        <is>
          <t>mandatory</t>
        </is>
      </c>
      <c r="F8" s="3" t="n">
        <v>0</v>
      </c>
      <c r="G8" s="3" t="inlineStr"/>
      <c r="H8" s="2" t="inlineStr">
        <is>
          <t>✓</t>
        </is>
      </c>
      <c r="I8" s="2" t="inlineStr">
        <is>
          <t>2026-05-20T14:30</t>
        </is>
      </c>
      <c r="J8" s="2" t="inlineStr">
        <is>
          <t>Hotovo ✓</t>
        </is>
      </c>
    </row>
    <row r="9">
      <c r="A9" s="4" t="n">
        <v>8</v>
      </c>
      <c r="B9" s="4" t="inlineStr">
        <is>
          <t>2026-07-10</t>
        </is>
      </c>
      <c r="C9" s="4" t="inlineStr">
        <is>
          <t>Pozvánky — rozeslání hostům + RSVP</t>
        </is>
      </c>
      <c r="D9" s="4" t="inlineStr">
        <is>
          <t>Mamka</t>
        </is>
      </c>
      <c r="E9" s="4" t="inlineStr">
        <is>
          <t>important</t>
        </is>
      </c>
      <c r="F9" s="5" t="n">
        <v>1500</v>
      </c>
      <c r="G9" s="5" t="inlineStr"/>
      <c r="H9" s="4" t="inlineStr">
        <is>
          <t> </t>
        </is>
      </c>
      <c r="I9" s="4" t="inlineStr"/>
      <c r="J9" s="4" t="inlineStr"/>
    </row>
    <row r="10">
      <c r="A10" s="4" t="n">
        <v>9</v>
      </c>
      <c r="B10" s="4" t="inlineStr">
        <is>
          <t>2026-07-15</t>
        </is>
      </c>
      <c r="C10" s="4" t="inlineStr">
        <is>
          <t>Finální počet hostů (potvrzení pro catering)</t>
        </is>
      </c>
      <c r="D10" s="4" t="inlineStr">
        <is>
          <t>Mamka</t>
        </is>
      </c>
      <c r="E10" s="4" t="inlineStr">
        <is>
          <t>mandatory</t>
        </is>
      </c>
      <c r="F10" s="5" t="n">
        <v>0</v>
      </c>
      <c r="G10" s="5" t="inlineStr"/>
      <c r="H10" s="4" t="inlineStr">
        <is>
          <t> </t>
        </is>
      </c>
      <c r="I10" s="4" t="inlineStr"/>
      <c r="J10" s="4" t="inlineStr"/>
    </row>
    <row r="11">
      <c r="A11" s="4" t="n">
        <v>10</v>
      </c>
      <c r="B11" s="4" t="inlineStr">
        <is>
          <t>2026-08-15</t>
        </is>
      </c>
      <c r="C11" s="4" t="inlineStr">
        <is>
          <t>Táta jako fotograf — domluva, technika, seznam fotek</t>
        </is>
      </c>
      <c r="D11" s="4" t="inlineStr">
        <is>
          <t>Taťka</t>
        </is>
      </c>
      <c r="E11" s="4" t="inlineStr">
        <is>
          <t>important</t>
        </is>
      </c>
      <c r="F11" s="5" t="n">
        <v>1500</v>
      </c>
      <c r="G11" s="5" t="inlineStr"/>
      <c r="H11" s="4" t="inlineStr">
        <is>
          <t> </t>
        </is>
      </c>
      <c r="I11" s="4" t="inlineStr"/>
      <c r="J11" s="4" t="inlineStr"/>
    </row>
    <row r="12">
      <c r="A12" s="4" t="n">
        <v>11</v>
      </c>
      <c r="B12" s="4" t="inlineStr">
        <is>
          <t>2026-08-20</t>
        </is>
      </c>
      <c r="C12" s="4" t="inlineStr">
        <is>
          <t>DJ / hudba — domluva playlistu, reproduktory</t>
        </is>
      </c>
      <c r="D12" s="4" t="inlineStr">
        <is>
          <t>Taťka</t>
        </is>
      </c>
      <c r="E12" s="4" t="inlineStr">
        <is>
          <t>important</t>
        </is>
      </c>
      <c r="F12" s="5" t="n">
        <v>2000</v>
      </c>
      <c r="G12" s="5" t="inlineStr"/>
      <c r="H12" s="4" t="inlineStr">
        <is>
          <t> </t>
        </is>
      </c>
      <c r="I12" s="4" t="inlineStr"/>
      <c r="J12" s="4" t="inlineStr"/>
    </row>
    <row r="13">
      <c r="A13" s="4" t="n">
        <v>12</v>
      </c>
      <c r="B13" s="4" t="inlineStr">
        <is>
          <t>2026-08-15</t>
        </is>
      </c>
      <c r="C13" s="4" t="inlineStr">
        <is>
          <t>Výzdoba (radnice + koliba — květiny, svíčky, girlandy)</t>
        </is>
      </c>
      <c r="D13" s="4" t="inlineStr">
        <is>
          <t>Děti</t>
        </is>
      </c>
      <c r="E13" s="4" t="inlineStr">
        <is>
          <t>important</t>
        </is>
      </c>
      <c r="F13" s="5" t="n">
        <v>5000</v>
      </c>
      <c r="G13" s="5" t="inlineStr"/>
      <c r="H13" s="4" t="inlineStr">
        <is>
          <t> </t>
        </is>
      </c>
      <c r="I13" s="4" t="inlineStr"/>
      <c r="J13" s="4" t="inlineStr"/>
    </row>
    <row r="14">
      <c r="A14" s="4" t="n">
        <v>13</v>
      </c>
      <c r="B14" s="4" t="inlineStr">
        <is>
          <t>2026-08-20</t>
        </is>
      </c>
      <c r="C14" s="4" t="inlineStr">
        <is>
          <t>Dort — objednat / vyrobit</t>
        </is>
      </c>
      <c r="D14" s="4" t="inlineStr">
        <is>
          <t>Děti, Mamka</t>
        </is>
      </c>
      <c r="E14" s="4" t="inlineStr">
        <is>
          <t>optional</t>
        </is>
      </c>
      <c r="F14" s="5" t="n">
        <v>2500</v>
      </c>
      <c r="G14" s="5" t="inlineStr"/>
      <c r="H14" s="4" t="inlineStr">
        <is>
          <t> </t>
        </is>
      </c>
      <c r="I14" s="4" t="inlineStr"/>
      <c r="J14" s="4" t="inlineStr"/>
    </row>
    <row r="15">
      <c r="A15" s="4" t="n">
        <v>14</v>
      </c>
      <c r="B15" s="4" t="inlineStr">
        <is>
          <t>2026-08-20</t>
        </is>
      </c>
      <c r="C15" s="4" t="inlineStr">
        <is>
          <t>Kytice pro nevěstu</t>
        </is>
      </c>
      <c r="D15" s="4" t="inlineStr">
        <is>
          <t>Mamka, Děti</t>
        </is>
      </c>
      <c r="E15" s="4" t="inlineStr">
        <is>
          <t>optional</t>
        </is>
      </c>
      <c r="F15" s="5" t="n">
        <v>0</v>
      </c>
      <c r="G15" s="5" t="inlineStr"/>
      <c r="H15" s="4" t="inlineStr">
        <is>
          <t> </t>
        </is>
      </c>
      <c r="I15" s="4" t="inlineStr"/>
      <c r="J15" s="4" t="inlineStr"/>
    </row>
    <row r="16">
      <c r="A16" s="4" t="n">
        <v>15</v>
      </c>
      <c r="B16" s="4" t="inlineStr">
        <is>
          <t>2026-08-25</t>
        </is>
      </c>
      <c r="C16" s="4" t="inlineStr">
        <is>
          <t>Focení / video — pomocné ruce (mobil, kamera)</t>
        </is>
      </c>
      <c r="D16" s="4" t="inlineStr">
        <is>
          <t>Děti</t>
        </is>
      </c>
      <c r="E16" s="4" t="inlineStr">
        <is>
          <t>optional</t>
        </is>
      </c>
      <c r="F16" s="5" t="n">
        <v>0</v>
      </c>
      <c r="G16" s="5" t="inlineStr"/>
      <c r="H16" s="4" t="inlineStr">
        <is>
          <t> </t>
        </is>
      </c>
      <c r="I16" s="4" t="inlineStr"/>
      <c r="J16" s="4" t="inlineStr"/>
    </row>
    <row r="17">
      <c r="A17" s="4" t="n">
        <v>16</v>
      </c>
      <c r="B17" s="4" t="inlineStr">
        <is>
          <t>2026-08-25</t>
        </is>
      </c>
      <c r="C17" s="4" t="inlineStr">
        <is>
          <t>Zkouška líčení a účesu</t>
        </is>
      </c>
      <c r="D17" s="4" t="inlineStr">
        <is>
          <t>Mamka</t>
        </is>
      </c>
      <c r="E17" s="4" t="inlineStr">
        <is>
          <t>optional</t>
        </is>
      </c>
      <c r="F17" s="5" t="n">
        <v>0</v>
      </c>
      <c r="G17" s="5" t="inlineStr"/>
      <c r="H17" s="4" t="inlineStr">
        <is>
          <t> </t>
        </is>
      </c>
      <c r="I17" s="4" t="inlineStr"/>
      <c r="J17" s="4" t="inlineStr"/>
    </row>
    <row r="18">
      <c r="A18" s="4" t="n">
        <v>17</v>
      </c>
      <c r="B18" s="4" t="inlineStr">
        <is>
          <t>2026-08-10</t>
        </is>
      </c>
      <c r="C18" s="4" t="inlineStr">
        <is>
          <t>Dárky pro svědky a rodiče</t>
        </is>
      </c>
      <c r="D18" s="4" t="inlineStr">
        <is>
          <t>Mamka, Taťka</t>
        </is>
      </c>
      <c r="E18" s="4" t="inlineStr">
        <is>
          <t>optional</t>
        </is>
      </c>
      <c r="F18" s="5" t="n">
        <v>0</v>
      </c>
      <c r="G18" s="5" t="inlineStr"/>
      <c r="H18" s="4" t="inlineStr">
        <is>
          <t> </t>
        </is>
      </c>
      <c r="I18" s="4" t="inlineStr"/>
      <c r="J18" s="4" t="inlineStr"/>
    </row>
    <row r="19">
      <c r="A19" s="4" t="n">
        <v>18</v>
      </c>
      <c r="B19" s="4" t="inlineStr">
        <is>
          <t>2026-08-01</t>
        </is>
      </c>
      <c r="C19" s="4" t="inlineStr">
        <is>
          <t>Potvrzení stolů, židlí, techniky (koliba)</t>
        </is>
      </c>
      <c r="D19" s="4" t="inlineStr">
        <is>
          <t>Žanetka</t>
        </is>
      </c>
      <c r="E19" s="4" t="inlineStr">
        <is>
          <t>important</t>
        </is>
      </c>
      <c r="F19" s="5" t="n">
        <v>0</v>
      </c>
      <c r="G19" s="5" t="inlineStr"/>
      <c r="H19" s="4" t="inlineStr">
        <is>
          <t> </t>
        </is>
      </c>
      <c r="I19" s="4" t="inlineStr"/>
      <c r="J19" s="4" t="inlineStr">
        <is>
          <t>Součást domluvy s Milošem</t>
        </is>
      </c>
    </row>
    <row r="20">
      <c r="A20" s="4" t="n">
        <v>19</v>
      </c>
      <c r="B20" s="4" t="inlineStr">
        <is>
          <t>2026-08-01</t>
        </is>
      </c>
      <c r="C20" s="4" t="inlineStr">
        <is>
          <t>Nákup nápojů (víno, šampaňské, nealko)</t>
        </is>
      </c>
      <c r="D20" s="4" t="inlineStr">
        <is>
          <t>Žanetka</t>
        </is>
      </c>
      <c r="E20" s="4" t="inlineStr">
        <is>
          <t>important</t>
        </is>
      </c>
      <c r="F20" s="5" t="n">
        <v>0</v>
      </c>
      <c r="G20" s="5" t="inlineStr"/>
      <c r="H20" s="4" t="inlineStr">
        <is>
          <t> </t>
        </is>
      </c>
      <c r="I20" s="4" t="inlineStr"/>
      <c r="J20" s="4" t="inlineStr"/>
    </row>
    <row r="21">
      <c r="A21" s="2" t="n">
        <v>20</v>
      </c>
      <c r="B21" s="2" t="inlineStr">
        <is>
          <t>2026-05-29</t>
        </is>
      </c>
      <c r="C21" s="2" t="inlineStr">
        <is>
          <t>Setkání s dcerami — rozdělení rolí (guestlist, výzdoba, fotky)</t>
        </is>
      </c>
      <c r="D21" s="2" t="inlineStr">
        <is>
          <t>Mamka</t>
        </is>
      </c>
      <c r="E21" s="2" t="inlineStr">
        <is>
          <t>important</t>
        </is>
      </c>
      <c r="F21" s="3" t="n">
        <v>0</v>
      </c>
      <c r="G21" s="3" t="inlineStr"/>
      <c r="H21" s="2" t="inlineStr">
        <is>
          <t>✓</t>
        </is>
      </c>
      <c r="I21" s="2" t="inlineStr">
        <is>
          <t>2026-05-20T14:30</t>
        </is>
      </c>
      <c r="J21" s="2" t="inlineStr">
        <is>
          <t>Hotovo ✓</t>
        </is>
      </c>
    </row>
  </sheetData>
  <autoFilter ref="A1:J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8" customWidth="1" min="4" max="4"/>
  </cols>
  <sheetData>
    <row r="1">
      <c r="A1" s="6" t="inlineStr">
        <is>
          <t>Kategorie</t>
        </is>
      </c>
      <c r="B1" s="6" t="inlineStr">
        <is>
          <t>Počet úkolů</t>
        </is>
      </c>
      <c r="C1" s="6" t="inlineStr">
        <is>
          <t>Plán (Kč)</t>
        </is>
      </c>
      <c r="D1" s="6" t="inlineStr">
        <is>
          <t>Skutečnost (Kč)</t>
        </is>
      </c>
    </row>
    <row r="2">
      <c r="A2" s="7" t="inlineStr">
        <is>
          <t>Povinné</t>
        </is>
      </c>
      <c r="B2" s="7">
        <f>COUNTIF(Úkoly!E2:E21,"mandatory")</f>
        <v/>
      </c>
      <c r="C2" s="8">
        <f>SUMIF(Úkoly!E2:E21,"mandatory",Úkoly!F2:F21)</f>
        <v/>
      </c>
      <c r="D2" s="8">
        <f>SUMIF(Úkoly!E2:E21,"mandatory",Úkoly!G2:G21)</f>
        <v/>
      </c>
    </row>
    <row r="3">
      <c r="A3" s="7" t="inlineStr">
        <is>
          <t>Důležité</t>
        </is>
      </c>
      <c r="B3" s="7">
        <f>COUNTIF(Úkoly!E2:E21,"important")</f>
        <v/>
      </c>
      <c r="C3" s="8">
        <f>SUMIF(Úkoly!E2:E21,"important",Úkoly!F2:F21)</f>
        <v/>
      </c>
      <c r="D3" s="8">
        <f>SUMIF(Úkoly!E2:E21,"important",Úkoly!G2:G21)</f>
        <v/>
      </c>
    </row>
    <row r="4">
      <c r="A4" s="7" t="inlineStr">
        <is>
          <t>Volitelné</t>
        </is>
      </c>
      <c r="B4" s="7">
        <f>COUNTIF(Úkoly!E2:E21,"optional")</f>
        <v/>
      </c>
      <c r="C4" s="8">
        <f>SUMIF(Úkoly!E2:E21,"optional",Úkoly!F2:F21)</f>
        <v/>
      </c>
      <c r="D4" s="8">
        <f>SUMIF(Úkoly!E2:E21,"optional",Úkoly!G2:G21)</f>
        <v/>
      </c>
    </row>
    <row r="5">
      <c r="A5" s="9" t="inlineStr">
        <is>
          <t>CELKEM</t>
        </is>
      </c>
      <c r="B5" s="9">
        <f>SUM(B2:B4)</f>
        <v/>
      </c>
      <c r="C5" s="10">
        <f>SUM(C2:C4)</f>
        <v/>
      </c>
      <c r="D5" s="10">
        <f>SUM(D2:D4)</f>
        <v/>
      </c>
    </row>
  </sheetData>
  <conditionalFormatting sqref="C5">
    <cfRule type="cellIs" priority="1" operator="greaterThan" dxfId="0">
      <formula>100000</formula>
    </cfRule>
    <cfRule type="cellIs" priority="2" operator="lessThanOrEqual" dxfId="1">
      <formula>100000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</cols>
  <sheetData>
    <row r="1">
      <c r="A1" s="6" t="inlineStr">
        <is>
          <t>Osoba</t>
        </is>
      </c>
      <c r="B1" s="6" t="inlineStr">
        <is>
          <t>Počet úkolů</t>
        </is>
      </c>
      <c r="C1" s="6" t="inlineStr">
        <is>
          <t>Plán (Kč)</t>
        </is>
      </c>
      <c r="D1" s="6" t="inlineStr">
        <is>
          <t>Hotovo</t>
        </is>
      </c>
    </row>
    <row r="2">
      <c r="A2" s="9" t="inlineStr">
        <is>
          <t>Mamka</t>
        </is>
      </c>
      <c r="B2" s="7">
        <f>COUNTIF(Úkoly!D2:D21,"*Mamka*")</f>
        <v/>
      </c>
      <c r="C2" s="8">
        <f>SUMIF(Úkoly!D2:D21,"*Mamka*",Úkoly!F2:F21)</f>
        <v/>
      </c>
      <c r="D2" s="7">
        <f>SUMPRODUCT((ISNUMBER(SEARCH("Mamka",Úkoly!D2:D21)))*(Úkoly!H2:H21="✓"))</f>
        <v/>
      </c>
    </row>
    <row r="3">
      <c r="A3" s="9" t="inlineStr">
        <is>
          <t>Taťka</t>
        </is>
      </c>
      <c r="B3" s="7">
        <f>COUNTIF(Úkoly!D2:D21,"*Taťka*")</f>
        <v/>
      </c>
      <c r="C3" s="8">
        <f>SUMIF(Úkoly!D2:D21,"*Taťka*",Úkoly!F2:F21)</f>
        <v/>
      </c>
      <c r="D3" s="7">
        <f>SUMPRODUCT((ISNUMBER(SEARCH("Taťka",Úkoly!D2:D21)))*(Úkoly!H2:H21="✓"))</f>
        <v/>
      </c>
    </row>
    <row r="4">
      <c r="A4" s="9" t="inlineStr">
        <is>
          <t>Žanetka</t>
        </is>
      </c>
      <c r="B4" s="7">
        <f>COUNTIF(Úkoly!D2:D21,"*Žanetka*")</f>
        <v/>
      </c>
      <c r="C4" s="8">
        <f>SUMIF(Úkoly!D2:D21,"*Žanetka*",Úkoly!F2:F21)</f>
        <v/>
      </c>
      <c r="D4" s="7">
        <f>SUMPRODUCT((ISNUMBER(SEARCH("Žanetka",Úkoly!D2:D21)))*(Úkoly!H2:H21="✓"))</f>
        <v/>
      </c>
    </row>
    <row r="5">
      <c r="A5" s="9" t="inlineStr">
        <is>
          <t>Kikinka</t>
        </is>
      </c>
      <c r="B5" s="7">
        <f>COUNTIF(Úkoly!D2:D21,"*Kikinka*")</f>
        <v/>
      </c>
      <c r="C5" s="8">
        <f>SUMIF(Úkoly!D2:D21,"*Kikinka*",Úkoly!F2:F21)</f>
        <v/>
      </c>
      <c r="D5" s="7">
        <f>SUMPRODUCT((ISNUMBER(SEARCH("Kikinka",Úkoly!D2:D21)))*(Úkoly!H2:H21="✓"))</f>
        <v/>
      </c>
    </row>
    <row r="6">
      <c r="A6" s="9" t="inlineStr">
        <is>
          <t>Děti</t>
        </is>
      </c>
      <c r="B6" s="7">
        <f>COUNTIF(Úkoly!D2:D21,"*Děti*")</f>
        <v/>
      </c>
      <c r="C6" s="8">
        <f>SUMIF(Úkoly!D2:D21,"*Děti*",Úkoly!F2:F21)</f>
        <v/>
      </c>
      <c r="D6" s="7">
        <f>SUMPRODUCT((ISNUMBER(SEARCH("Děti",Úkoly!D2:D21)))*(Úkoly!H2:H21="✓"))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2026-05-24T20:28:34Z</dcterms:created>
  <dcterms:modified xsi:type="dcterms:W3CDTF">2026-05-24T20:28:34Z</dcterms:modified>
</cp:coreProperties>
</file>