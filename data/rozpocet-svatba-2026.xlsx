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zpocet" sheetId="1" state="visible" r:id="rId1"/>
    <sheet name="Podle osoby" sheetId="2" state="visible" r:id="rId2"/>
  </sheets>
  <definedNames>
    <definedName name="_xlnm._FilterDatabase" localSheetId="0" hidden="1">'Rozpocet'!$A$4:$J$40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CC0000"/>
      <sz val="10"/>
    </font>
    <font>
      <name val="Arial"/>
      <b val="1"/>
      <color rgb="00FFFFFF"/>
      <sz val="11"/>
    </font>
    <font>
      <name val="Arial"/>
      <sz val="11"/>
    </font>
    <font>
      <name val="Arial"/>
      <strike val="1"/>
      <color rgb="00888888"/>
      <sz val="11"/>
    </font>
    <font>
      <name val="Arial"/>
      <b val="1"/>
      <color rgb="00CC0000"/>
      <sz val="11"/>
    </font>
    <font>
      <name val="Arial"/>
      <strike val="1"/>
      <color rgb="000000FF"/>
      <sz val="11"/>
    </font>
    <font>
      <name val="Arial"/>
      <strike val="0"/>
      <color rgb="000000FF"/>
      <sz val="11"/>
    </font>
    <font>
      <name val="Arial"/>
      <b val="1"/>
      <color rgb="00228B22"/>
      <sz val="11"/>
    </font>
    <font>
      <name val="Arial"/>
      <b val="1"/>
      <color rgb="00B8860B"/>
      <sz val="11"/>
    </font>
    <font>
      <name val="Arial"/>
      <b val="1"/>
      <color rgb="002F5496"/>
      <sz val="12"/>
    </font>
    <font>
      <name val="Arial"/>
      <b val="1"/>
      <sz val="11"/>
    </font>
    <font>
      <name val="Arial"/>
      <color rgb="00000000"/>
      <sz val="11"/>
    </font>
    <font>
      <name val="Arial"/>
      <b val="1"/>
      <sz val="12"/>
    </font>
    <font>
      <name val="Arial"/>
      <i val="1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FFF5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3" fontId="7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8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4" borderId="1" pivotButton="0" quotePrefix="0" xfId="0"/>
    <xf numFmtId="0" fontId="13" fillId="0" borderId="1" applyAlignment="1" pivotButton="0" quotePrefix="0" xfId="0">
      <alignment horizontal="center" vertical="center"/>
    </xf>
    <xf numFmtId="3" fontId="13" fillId="0" borderId="1" pivotButton="0" quotePrefix="0" xfId="0"/>
    <xf numFmtId="0" fontId="12" fillId="6" borderId="1" pivotButton="0" quotePrefix="0" xfId="0"/>
    <xf numFmtId="0" fontId="12" fillId="5" borderId="1" pivotButton="0" quotePrefix="0" xfId="0"/>
    <xf numFmtId="0" fontId="14" fillId="7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0" fontId="15" fillId="0" borderId="0" pivotButton="0" quotePrefix="0" xfId="0"/>
    <xf numFmtId="0" fontId="12" fillId="0" borderId="1" pivotButton="0" quotePrefix="0" xfId="0"/>
    <xf numFmtId="3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rial"/>
        <b val="1"/>
        <color rgb="00FFFFFF"/>
        <sz val="12"/>
      </font>
      <fill>
        <patternFill patternType="solid">
          <fgColor rgb="00F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22" customWidth="1" min="4" max="4"/>
    <col width="14" customWidth="1" min="5" max="5"/>
    <col width="12" customWidth="1" min="6" max="6"/>
    <col width="16" customWidth="1" min="7" max="7"/>
    <col width="8" customWidth="1" min="8" max="8"/>
    <col width="20" customWidth="1" min="9" max="9"/>
    <col width="42" customWidth="1" min="10" max="10"/>
  </cols>
  <sheetData>
    <row r="1" ht="28" customHeight="1">
      <c r="A1" s="1" t="inlineStr">
        <is>
          <t>Rozpocet - Svatba Paprckovi 29. 8. 2026</t>
        </is>
      </c>
    </row>
    <row r="2">
      <c r="A2" s="2" t="inlineStr">
        <is>
          <t>MAX 100 000 Kc hard cap. Zmena ceny -&gt; najit kompenzaci jinde. Modry text = editovatelny vstup.</t>
        </is>
      </c>
    </row>
    <row r="4">
      <c r="A4" s="3" t="inlineStr">
        <is>
          <t>ID</t>
        </is>
      </c>
      <c r="B4" s="3" t="inlineStr">
        <is>
          <t>Termin</t>
        </is>
      </c>
      <c r="C4" s="3" t="inlineStr">
        <is>
          <t>Ukol</t>
        </is>
      </c>
      <c r="D4" s="3" t="inlineStr">
        <is>
          <t>Kdo</t>
        </is>
      </c>
      <c r="E4" s="3" t="inlineStr">
        <is>
          <t>Kategorie</t>
        </is>
      </c>
      <c r="F4" s="3" t="inlineStr">
        <is>
          <t>Plan (Kc)</t>
        </is>
      </c>
      <c r="G4" s="3" t="inlineStr">
        <is>
          <t>Skutecnost (Kc)</t>
        </is>
      </c>
      <c r="H4" s="3" t="inlineStr">
        <is>
          <t>Stav</t>
        </is>
      </c>
      <c r="I4" s="3" t="inlineStr">
        <is>
          <t>Timestamp</t>
        </is>
      </c>
      <c r="J4" s="3" t="inlineStr">
        <is>
          <t>Poznamka</t>
        </is>
      </c>
    </row>
    <row r="5">
      <c r="A5" s="4" t="n">
        <v>1</v>
      </c>
      <c r="B5" s="4" t="inlineStr">
        <is>
          <t>2026-05-29</t>
        </is>
      </c>
      <c r="C5" s="5" t="inlineStr">
        <is>
          <t>Termín konfirmace</t>
        </is>
      </c>
      <c r="D5" s="4" t="inlineStr">
        <is>
          <t>Mamka</t>
        </is>
      </c>
      <c r="E5" s="6" t="inlineStr">
        <is>
          <t>mandatory</t>
        </is>
      </c>
      <c r="F5" s="7" t="n">
        <v>0</v>
      </c>
      <c r="G5" s="7" t="n">
        <v>0</v>
      </c>
      <c r="H5" s="4" t="inlineStr">
        <is>
          <t>[x]</t>
        </is>
      </c>
      <c r="I5" s="5" t="inlineStr">
        <is>
          <t>2026-05-20T14:30</t>
        </is>
      </c>
      <c r="J5" s="5" t="inlineStr">
        <is>
          <t>Hotovo</t>
        </is>
      </c>
    </row>
    <row r="6">
      <c r="A6" s="4" t="n">
        <v>2</v>
      </c>
      <c r="B6" s="4" t="inlineStr">
        <is>
          <t>2026-05-29</t>
        </is>
      </c>
      <c r="C6" s="5" t="inlineStr">
        <is>
          <t>Návštěva radnice (Nová radnice Ostrava)</t>
        </is>
      </c>
      <c r="D6" s="4" t="inlineStr">
        <is>
          <t>Mamka</t>
        </is>
      </c>
      <c r="E6" s="6" t="inlineStr">
        <is>
          <t>mandatory</t>
        </is>
      </c>
      <c r="F6" s="7" t="n">
        <v>0</v>
      </c>
      <c r="G6" s="7" t="n">
        <v>0</v>
      </c>
      <c r="H6" s="4" t="inlineStr">
        <is>
          <t>[x]</t>
        </is>
      </c>
      <c r="I6" s="5" t="inlineStr">
        <is>
          <t>2026-05-20T14:30</t>
        </is>
      </c>
      <c r="J6" s="5" t="inlineStr">
        <is>
          <t>Hotovo</t>
        </is>
      </c>
    </row>
    <row r="7">
      <c r="A7" s="4" t="n">
        <v>3</v>
      </c>
      <c r="B7" s="4" t="inlineStr">
        <is>
          <t>2026-05-29</t>
        </is>
      </c>
      <c r="C7" s="5" t="inlineStr">
        <is>
          <t>Informování dětí</t>
        </is>
      </c>
      <c r="D7" s="4" t="inlineStr">
        <is>
          <t>Mamka</t>
        </is>
      </c>
      <c r="E7" s="6" t="inlineStr">
        <is>
          <t>mandatory</t>
        </is>
      </c>
      <c r="F7" s="7" t="n">
        <v>0</v>
      </c>
      <c r="G7" s="7" t="n">
        <v>0</v>
      </c>
      <c r="H7" s="4" t="inlineStr">
        <is>
          <t>[x]</t>
        </is>
      </c>
      <c r="I7" s="5" t="inlineStr">
        <is>
          <t>2026-05-20T14:30</t>
        </is>
      </c>
      <c r="J7" s="5" t="inlineStr">
        <is>
          <t>Hotovo</t>
        </is>
      </c>
    </row>
    <row r="8">
      <c r="A8" s="4" t="n">
        <v>4</v>
      </c>
      <c r="B8" s="4" t="inlineStr">
        <is>
          <t>2026-05-29</t>
        </is>
      </c>
      <c r="C8" s="5" t="inlineStr">
        <is>
          <t>Svědci domluveni (Kikinka + Žanetka)</t>
        </is>
      </c>
      <c r="D8" s="4" t="inlineStr">
        <is>
          <t>Mamka</t>
        </is>
      </c>
      <c r="E8" s="6" t="inlineStr">
        <is>
          <t>mandatory</t>
        </is>
      </c>
      <c r="F8" s="7" t="n">
        <v>0</v>
      </c>
      <c r="G8" s="7" t="n">
        <v>0</v>
      </c>
      <c r="H8" s="4" t="inlineStr">
        <is>
          <t>[x]</t>
        </is>
      </c>
      <c r="I8" s="5" t="inlineStr">
        <is>
          <t>2026-05-20T14:30</t>
        </is>
      </c>
      <c r="J8" s="5" t="inlineStr">
        <is>
          <t>Hotovo</t>
        </is>
      </c>
    </row>
    <row r="9">
      <c r="A9" s="4" t="n">
        <v>5</v>
      </c>
      <c r="B9" s="4" t="inlineStr">
        <is>
          <t>2026-06-30</t>
        </is>
      </c>
      <c r="C9" s="5" t="inlineStr">
        <is>
          <t>Domluva oddávajícího (11:15 Nová radnice)</t>
        </is>
      </c>
      <c r="D9" s="4" t="inlineStr">
        <is>
          <t>Mamka</t>
        </is>
      </c>
      <c r="E9" s="6" t="inlineStr">
        <is>
          <t>mandatory</t>
        </is>
      </c>
      <c r="F9" s="7" t="n">
        <v>0</v>
      </c>
      <c r="G9" s="7" t="n">
        <v>0</v>
      </c>
      <c r="H9" s="4" t="inlineStr">
        <is>
          <t>[x]</t>
        </is>
      </c>
      <c r="I9" s="5" t="inlineStr">
        <is>
          <t>2026-05-20T14:30</t>
        </is>
      </c>
      <c r="J9" s="5" t="inlineStr">
        <is>
          <t>Mamka</t>
        </is>
      </c>
    </row>
    <row r="10">
      <c r="A10" s="8" t="n">
        <v>6</v>
      </c>
      <c r="B10" s="8" t="inlineStr">
        <is>
          <t>2026-07-10</t>
        </is>
      </c>
      <c r="C10" s="9" t="inlineStr">
        <is>
          <t>Svatební oznámení</t>
        </is>
      </c>
      <c r="D10" s="8" t="inlineStr">
        <is>
          <t>Mamka</t>
        </is>
      </c>
      <c r="E10" s="6" t="inlineStr">
        <is>
          <t>mandatory</t>
        </is>
      </c>
      <c r="F10" s="10" t="n">
        <v>1500</v>
      </c>
      <c r="G10" s="10" t="inlineStr"/>
      <c r="H10" s="8" t="inlineStr">
        <is>
          <t>[ ]</t>
        </is>
      </c>
      <c r="I10" s="9" t="inlineStr"/>
      <c r="J10" s="9" t="inlineStr"/>
    </row>
    <row r="11">
      <c r="A11" s="8" t="n">
        <v>7</v>
      </c>
      <c r="B11" s="8" t="inlineStr">
        <is>
          <t>2026-07-15</t>
        </is>
      </c>
      <c r="C11" s="9" t="inlineStr">
        <is>
          <t>Zlatá koliba - menu + catering</t>
        </is>
      </c>
      <c r="D11" s="8" t="inlineStr">
        <is>
          <t>Žanetka</t>
        </is>
      </c>
      <c r="E11" s="6" t="inlineStr">
        <is>
          <t>mandatory</t>
        </is>
      </c>
      <c r="F11" s="10" t="n">
        <v>30000</v>
      </c>
      <c r="G11" s="10" t="inlineStr"/>
      <c r="H11" s="8" t="inlineStr">
        <is>
          <t>[ ]</t>
        </is>
      </c>
      <c r="I11" s="9" t="inlineStr"/>
      <c r="J11" s="9" t="inlineStr">
        <is>
          <t>30 lidí; polévka 95 Kč/os; druhé 275 Kč/os; oběd = 11 100 Kč (30×370); pití k obědu + chlast = zbytek do 30k; 21.5. návštěva u Miloše</t>
        </is>
      </c>
    </row>
    <row r="12">
      <c r="A12" s="8" t="n">
        <v>8</v>
      </c>
      <c r="B12" s="8" t="inlineStr">
        <is>
          <t>2026-07-15</t>
        </is>
      </c>
      <c r="C12" s="9" t="inlineStr">
        <is>
          <t>Svatební šaty (Mamka)</t>
        </is>
      </c>
      <c r="D12" s="8" t="inlineStr">
        <is>
          <t>Mamka</t>
        </is>
      </c>
      <c r="E12" s="6" t="inlineStr">
        <is>
          <t>mandatory</t>
        </is>
      </c>
      <c r="F12" s="10" t="n">
        <v>12000</v>
      </c>
      <c r="G12" s="10" t="inlineStr"/>
      <c r="H12" s="8" t="inlineStr">
        <is>
          <t>[ ]</t>
        </is>
      </c>
      <c r="I12" s="9" t="inlineStr"/>
      <c r="J12" s="9" t="inlineStr">
        <is>
          <t>plán 11 100; budget cca 12 000; max 15 000 Kč</t>
        </is>
      </c>
    </row>
    <row r="13">
      <c r="A13" s="8" t="n">
        <v>9</v>
      </c>
      <c r="B13" s="8" t="inlineStr">
        <is>
          <t>2026-07-15</t>
        </is>
      </c>
      <c r="C13" s="9" t="inlineStr">
        <is>
          <t>Oblek a sako (Taťka)</t>
        </is>
      </c>
      <c r="D13" s="8" t="inlineStr">
        <is>
          <t>Taťka</t>
        </is>
      </c>
      <c r="E13" s="6" t="inlineStr">
        <is>
          <t>mandatory</t>
        </is>
      </c>
      <c r="F13" s="10" t="n">
        <v>8000</v>
      </c>
      <c r="G13" s="10" t="inlineStr"/>
      <c r="H13" s="8" t="inlineStr">
        <is>
          <t>[ ]</t>
        </is>
      </c>
      <c r="I13" s="9" t="inlineStr"/>
      <c r="J13" s="9" t="inlineStr"/>
    </row>
    <row r="14">
      <c r="A14" s="8" t="n">
        <v>10</v>
      </c>
      <c r="B14" s="8" t="inlineStr">
        <is>
          <t>2026-07-15</t>
        </is>
      </c>
      <c r="C14" s="9" t="inlineStr">
        <is>
          <t>Prstýnky - nákup a úprava</t>
        </is>
      </c>
      <c r="D14" s="8" t="inlineStr">
        <is>
          <t>Taťka</t>
        </is>
      </c>
      <c r="E14" s="6" t="inlineStr">
        <is>
          <t>mandatory</t>
        </is>
      </c>
      <c r="F14" s="10" t="n">
        <v>20000</v>
      </c>
      <c r="G14" s="10" t="inlineStr"/>
      <c r="H14" s="8" t="inlineStr">
        <is>
          <t>[ ]</t>
        </is>
      </c>
      <c r="I14" s="9" t="inlineStr"/>
      <c r="J14" s="9" t="inlineStr"/>
    </row>
    <row r="15">
      <c r="A15" s="8" t="n">
        <v>11</v>
      </c>
      <c r="B15" s="8" t="inlineStr">
        <is>
          <t>2026-07-15</t>
        </is>
      </c>
      <c r="C15" s="9" t="inlineStr">
        <is>
          <t>Seznam hostů</t>
        </is>
      </c>
      <c r="D15" s="8" t="inlineStr">
        <is>
          <t>Mamka</t>
        </is>
      </c>
      <c r="E15" s="6" t="inlineStr">
        <is>
          <t>mandatory</t>
        </is>
      </c>
      <c r="F15" s="10" t="n">
        <v>0</v>
      </c>
      <c r="G15" s="10" t="inlineStr"/>
      <c r="H15" s="8" t="inlineStr">
        <is>
          <t>[ ]</t>
        </is>
      </c>
      <c r="I15" s="9" t="inlineStr"/>
      <c r="J15" s="9" t="inlineStr"/>
    </row>
    <row r="16">
      <c r="A16" s="8" t="n">
        <v>12</v>
      </c>
      <c r="B16" s="8" t="inlineStr">
        <is>
          <t>2026-07-15</t>
        </is>
      </c>
      <c r="C16" s="9" t="inlineStr">
        <is>
          <t>Svatební cesta - termín ubytování program</t>
        </is>
      </c>
      <c r="D16" s="8" t="inlineStr">
        <is>
          <t>Taťka</t>
        </is>
      </c>
      <c r="E16" s="11" t="inlineStr">
        <is>
          <t>optional</t>
        </is>
      </c>
      <c r="F16" s="10" t="n">
        <v>0</v>
      </c>
      <c r="G16" s="10" t="inlineStr"/>
      <c r="H16" s="8" t="inlineStr">
        <is>
          <t>[ ]</t>
        </is>
      </c>
      <c r="I16" s="9" t="inlineStr"/>
      <c r="J16" s="9" t="inlineStr"/>
    </row>
    <row r="17">
      <c r="A17" s="8" t="n">
        <v>13</v>
      </c>
      <c r="B17" s="8" t="inlineStr">
        <is>
          <t>2026-08-01</t>
        </is>
      </c>
      <c r="C17" s="9" t="inlineStr">
        <is>
          <t>Nápoje a bar</t>
        </is>
      </c>
      <c r="D17" s="8" t="inlineStr">
        <is>
          <t>Žanetka</t>
        </is>
      </c>
      <c r="E17" s="6" t="inlineStr">
        <is>
          <t>mandatory</t>
        </is>
      </c>
      <c r="F17" s="10" t="n">
        <v>6000</v>
      </c>
      <c r="G17" s="10" t="inlineStr"/>
      <c r="H17" s="8" t="inlineStr">
        <is>
          <t>[ ]</t>
        </is>
      </c>
      <c r="I17" s="9" t="inlineStr"/>
      <c r="J17" s="9" t="inlineStr"/>
    </row>
    <row r="18">
      <c r="A18" s="8" t="n">
        <v>14</v>
      </c>
      <c r="B18" s="8" t="inlineStr">
        <is>
          <t>2026-08-01</t>
        </is>
      </c>
      <c r="C18" s="9" t="inlineStr">
        <is>
          <t>Doplňky (boty šperky)</t>
        </is>
      </c>
      <c r="D18" s="8" t="inlineStr">
        <is>
          <t>Mamka</t>
        </is>
      </c>
      <c r="E18" s="6" t="inlineStr">
        <is>
          <t>mandatory</t>
        </is>
      </c>
      <c r="F18" s="10" t="n">
        <v>3000</v>
      </c>
      <c r="G18" s="10" t="inlineStr"/>
      <c r="H18" s="8" t="inlineStr">
        <is>
          <t>[ ]</t>
        </is>
      </c>
      <c r="I18" s="9" t="inlineStr"/>
      <c r="J18" s="9" t="inlineStr"/>
    </row>
    <row r="19">
      <c r="A19" s="8" t="n">
        <v>15</v>
      </c>
      <c r="B19" s="8" t="inlineStr">
        <is>
          <t>2026-08-01</t>
        </is>
      </c>
      <c r="C19" s="9" t="inlineStr">
        <is>
          <t>Ubytování pro hosty</t>
        </is>
      </c>
      <c r="D19" s="8" t="inlineStr">
        <is>
          <t>Žanetka</t>
        </is>
      </c>
      <c r="E19" s="6" t="inlineStr">
        <is>
          <t>mandatory</t>
        </is>
      </c>
      <c r="F19" s="10" t="n">
        <v>5000</v>
      </c>
      <c r="G19" s="10" t="inlineStr"/>
      <c r="H19" s="8" t="inlineStr">
        <is>
          <t>[ ]</t>
        </is>
      </c>
      <c r="I19" s="9" t="inlineStr"/>
      <c r="J19" s="9" t="inlineStr"/>
    </row>
    <row r="20">
      <c r="A20" s="8" t="n">
        <v>16</v>
      </c>
      <c r="B20" s="8" t="inlineStr">
        <is>
          <t>2026-08-10</t>
        </is>
      </c>
      <c r="C20" s="9" t="inlineStr">
        <is>
          <t>Dárky pro svědky</t>
        </is>
      </c>
      <c r="D20" s="8" t="inlineStr">
        <is>
          <t>Mamka</t>
        </is>
      </c>
      <c r="E20" s="12" t="inlineStr">
        <is>
          <t>important</t>
        </is>
      </c>
      <c r="F20" s="10" t="n">
        <v>500</v>
      </c>
      <c r="G20" s="10" t="inlineStr"/>
      <c r="H20" s="8" t="inlineStr">
        <is>
          <t>[ ]</t>
        </is>
      </c>
      <c r="I20" s="9" t="inlineStr"/>
      <c r="J20" s="9" t="inlineStr"/>
    </row>
    <row r="21">
      <c r="A21" s="8" t="n">
        <v>17</v>
      </c>
      <c r="B21" s="8" t="inlineStr">
        <is>
          <t>2026-08-15</t>
        </is>
      </c>
      <c r="C21" s="9" t="inlineStr">
        <is>
          <t>Dekorace a květiny na radnici</t>
        </is>
      </c>
      <c r="D21" s="8" t="inlineStr">
        <is>
          <t>Kikinka</t>
        </is>
      </c>
      <c r="E21" s="6" t="inlineStr">
        <is>
          <t>mandatory</t>
        </is>
      </c>
      <c r="F21" s="10" t="n">
        <v>3000</v>
      </c>
      <c r="G21" s="10" t="inlineStr"/>
      <c r="H21" s="8" t="inlineStr">
        <is>
          <t>[ ]</t>
        </is>
      </c>
      <c r="I21" s="9" t="inlineStr"/>
      <c r="J21" s="9" t="inlineStr"/>
    </row>
    <row r="22">
      <c r="A22" s="8" t="n">
        <v>18</v>
      </c>
      <c r="B22" s="8" t="inlineStr">
        <is>
          <t>2026-08-15</t>
        </is>
      </c>
      <c r="C22" s="9" t="inlineStr">
        <is>
          <t>Dekorace Zlaté koliby</t>
        </is>
      </c>
      <c r="D22" s="8" t="inlineStr">
        <is>
          <t>Děti</t>
        </is>
      </c>
      <c r="E22" s="12" t="inlineStr">
        <is>
          <t>important</t>
        </is>
      </c>
      <c r="F22" s="10" t="n">
        <v>1000</v>
      </c>
      <c r="G22" s="10" t="inlineStr"/>
      <c r="H22" s="8" t="inlineStr">
        <is>
          <t>[ ]</t>
        </is>
      </c>
      <c r="I22" s="9" t="inlineStr"/>
      <c r="J22" s="9" t="inlineStr">
        <is>
          <t>Výzdoba - role Dětí</t>
        </is>
      </c>
    </row>
    <row r="23">
      <c r="A23" s="8" t="n">
        <v>19</v>
      </c>
      <c r="B23" s="8" t="inlineStr">
        <is>
          <t>2026-08-15</t>
        </is>
      </c>
      <c r="C23" s="9" t="inlineStr">
        <is>
          <t>Dárky pro rodiče a poděkování</t>
        </is>
      </c>
      <c r="D23" s="8" t="inlineStr">
        <is>
          <t>Taťka</t>
        </is>
      </c>
      <c r="E23" s="12" t="inlineStr">
        <is>
          <t>important</t>
        </is>
      </c>
      <c r="F23" s="10" t="n">
        <v>500</v>
      </c>
      <c r="G23" s="10" t="inlineStr"/>
      <c r="H23" s="8" t="inlineStr">
        <is>
          <t>[ ]</t>
        </is>
      </c>
      <c r="I23" s="9" t="inlineStr"/>
      <c r="J23" s="9" t="inlineStr"/>
    </row>
    <row r="24">
      <c r="A24" s="8" t="n">
        <v>20</v>
      </c>
      <c r="B24" s="8" t="inlineStr">
        <is>
          <t>2026-08-15</t>
        </is>
      </c>
      <c r="C24" s="9" t="inlineStr">
        <is>
          <t>První tanec</t>
        </is>
      </c>
      <c r="D24" s="8" t="inlineStr">
        <is>
          <t>Mamka</t>
        </is>
      </c>
      <c r="E24" s="12" t="inlineStr">
        <is>
          <t>important</t>
        </is>
      </c>
      <c r="F24" s="10" t="n">
        <v>0</v>
      </c>
      <c r="G24" s="10" t="inlineStr"/>
      <c r="H24" s="8" t="inlineStr">
        <is>
          <t>[ ]</t>
        </is>
      </c>
      <c r="I24" s="9" t="inlineStr"/>
      <c r="J24" s="9" t="inlineStr"/>
    </row>
    <row r="25">
      <c r="A25" s="8" t="n">
        <v>21</v>
      </c>
      <c r="B25" s="8" t="inlineStr">
        <is>
          <t>2026-08-20</t>
        </is>
      </c>
      <c r="C25" s="9" t="inlineStr">
        <is>
          <t>Doprava (radnice -&gt; Zlatá koliba)</t>
        </is>
      </c>
      <c r="D25" s="8" t="inlineStr">
        <is>
          <t>Taťka</t>
        </is>
      </c>
      <c r="E25" s="6" t="inlineStr">
        <is>
          <t>mandatory</t>
        </is>
      </c>
      <c r="F25" s="10" t="n">
        <v>3000</v>
      </c>
      <c r="G25" s="10" t="inlineStr"/>
      <c r="H25" s="8" t="inlineStr">
        <is>
          <t>[ ]</t>
        </is>
      </c>
      <c r="I25" s="9" t="inlineStr"/>
      <c r="J25" s="9" t="inlineStr"/>
    </row>
    <row r="26">
      <c r="A26" s="8" t="n">
        <v>22</v>
      </c>
      <c r="B26" s="8" t="inlineStr">
        <is>
          <t>2026-08-20</t>
        </is>
      </c>
      <c r="C26" s="9" t="inlineStr">
        <is>
          <t>Svatební dort</t>
        </is>
      </c>
      <c r="D26" s="8" t="inlineStr">
        <is>
          <t>Děti, Mamka</t>
        </is>
      </c>
      <c r="E26" s="6" t="inlineStr">
        <is>
          <t>mandatory</t>
        </is>
      </c>
      <c r="F26" s="10" t="n">
        <v>3000</v>
      </c>
      <c r="G26" s="10" t="inlineStr"/>
      <c r="H26" s="8" t="inlineStr">
        <is>
          <t>[ ]</t>
        </is>
      </c>
      <c r="I26" s="9" t="inlineStr"/>
      <c r="J26" s="9" t="inlineStr">
        <is>
          <t>Dort - role Dětí</t>
        </is>
      </c>
    </row>
    <row r="27">
      <c r="A27" s="8" t="n">
        <v>23</v>
      </c>
      <c r="B27" s="8" t="inlineStr">
        <is>
          <t>2026-08-20</t>
        </is>
      </c>
      <c r="C27" s="9" t="inlineStr">
        <is>
          <t>Oddávající podpisy doklady</t>
        </is>
      </c>
      <c r="D27" s="8" t="inlineStr">
        <is>
          <t>Kikinka</t>
        </is>
      </c>
      <c r="E27" s="6" t="inlineStr">
        <is>
          <t>mandatory</t>
        </is>
      </c>
      <c r="F27" s="10" t="n">
        <v>0</v>
      </c>
      <c r="G27" s="10" t="inlineStr"/>
      <c r="H27" s="8" t="inlineStr">
        <is>
          <t>[ ]</t>
        </is>
      </c>
      <c r="I27" s="9" t="inlineStr"/>
      <c r="J27" s="9" t="inlineStr"/>
    </row>
    <row r="28">
      <c r="A28" s="8" t="n">
        <v>24</v>
      </c>
      <c r="B28" s="8" t="inlineStr">
        <is>
          <t>2026-08-20</t>
        </is>
      </c>
      <c r="C28" s="9" t="inlineStr">
        <is>
          <t>Fotokoutek / selfie zóna</t>
        </is>
      </c>
      <c r="D28" s="8" t="inlineStr">
        <is>
          <t>Taťka</t>
        </is>
      </c>
      <c r="E28" s="12" t="inlineStr">
        <is>
          <t>important</t>
        </is>
      </c>
      <c r="F28" s="10" t="n">
        <v>1000</v>
      </c>
      <c r="G28" s="10" t="inlineStr"/>
      <c r="H28" s="8" t="inlineStr">
        <is>
          <t>[ ]</t>
        </is>
      </c>
      <c r="I28" s="9" t="inlineStr"/>
      <c r="J28" s="9" t="inlineStr"/>
    </row>
    <row r="29">
      <c r="A29" s="8" t="n">
        <v>25</v>
      </c>
      <c r="B29" s="8" t="inlineStr">
        <is>
          <t>2026-08-20</t>
        </is>
      </c>
      <c r="C29" s="9" t="inlineStr">
        <is>
          <t>Uvítací cedule</t>
        </is>
      </c>
      <c r="D29" s="8" t="inlineStr">
        <is>
          <t>Mamka</t>
        </is>
      </c>
      <c r="E29" s="12" t="inlineStr">
        <is>
          <t>important</t>
        </is>
      </c>
      <c r="F29" s="10" t="n">
        <v>0</v>
      </c>
      <c r="G29" s="10" t="inlineStr"/>
      <c r="H29" s="8" t="inlineStr">
        <is>
          <t>[ ]</t>
        </is>
      </c>
      <c r="I29" s="9" t="inlineStr"/>
      <c r="J29" s="9" t="inlineStr"/>
    </row>
    <row r="30">
      <c r="A30" s="8" t="n">
        <v>26</v>
      </c>
      <c r="B30" s="8" t="inlineStr">
        <is>
          <t>2026-08-20</t>
        </is>
      </c>
      <c r="C30" s="9" t="inlineStr">
        <is>
          <t>Dárky na přivítanou pro hosty</t>
        </is>
      </c>
      <c r="D30" s="8" t="inlineStr">
        <is>
          <t>Mamka</t>
        </is>
      </c>
      <c r="E30" s="12" t="inlineStr">
        <is>
          <t>important</t>
        </is>
      </c>
      <c r="F30" s="10" t="n">
        <v>0</v>
      </c>
      <c r="G30" s="10" t="inlineStr"/>
      <c r="H30" s="8" t="inlineStr">
        <is>
          <t>[ ]</t>
        </is>
      </c>
      <c r="I30" s="9" t="inlineStr"/>
      <c r="J30" s="9" t="inlineStr"/>
    </row>
    <row r="31">
      <c r="A31" s="8" t="n">
        <v>27</v>
      </c>
      <c r="B31" s="8" t="inlineStr">
        <is>
          <t>2026-08-20</t>
        </is>
      </c>
      <c r="C31" s="9" t="inlineStr">
        <is>
          <t>Hry pro hosty</t>
        </is>
      </c>
      <c r="D31" s="8" t="inlineStr">
        <is>
          <t>Žanetka</t>
        </is>
      </c>
      <c r="E31" s="12" t="inlineStr">
        <is>
          <t>important</t>
        </is>
      </c>
      <c r="F31" s="10" t="n">
        <v>0</v>
      </c>
      <c r="G31" s="10" t="inlineStr"/>
      <c r="H31" s="8" t="inlineStr">
        <is>
          <t>[ ]</t>
        </is>
      </c>
      <c r="I31" s="9" t="inlineStr"/>
      <c r="J31" s="9" t="inlineStr"/>
    </row>
    <row r="32">
      <c r="A32" s="8" t="n">
        <v>28</v>
      </c>
      <c r="B32" s="8" t="inlineStr">
        <is>
          <t>2026-08-20</t>
        </is>
      </c>
      <c r="C32" s="9" t="inlineStr">
        <is>
          <t>Playlist / hudba</t>
        </is>
      </c>
      <c r="D32" s="8" t="inlineStr">
        <is>
          <t>Taťka</t>
        </is>
      </c>
      <c r="E32" s="12" t="inlineStr">
        <is>
          <t>important</t>
        </is>
      </c>
      <c r="F32" s="10" t="n">
        <v>0</v>
      </c>
      <c r="G32" s="10" t="inlineStr"/>
      <c r="H32" s="8" t="inlineStr">
        <is>
          <t>[ ]</t>
        </is>
      </c>
      <c r="I32" s="9" t="inlineStr"/>
      <c r="J32" s="9" t="inlineStr"/>
    </row>
    <row r="33">
      <c r="A33" s="8" t="n">
        <v>29</v>
      </c>
      <c r="B33" s="8" t="inlineStr">
        <is>
          <t>2026-08-20</t>
        </is>
      </c>
      <c r="C33" s="9" t="inlineStr">
        <is>
          <t>Drobnosti pro hosty (guestbook + favory)</t>
        </is>
      </c>
      <c r="D33" s="8" t="inlineStr">
        <is>
          <t>Mamka</t>
        </is>
      </c>
      <c r="E33" s="11" t="inlineStr">
        <is>
          <t>optional</t>
        </is>
      </c>
      <c r="F33" s="10" t="n">
        <v>500</v>
      </c>
      <c r="G33" s="10" t="inlineStr"/>
      <c r="H33" s="8" t="inlineStr">
        <is>
          <t>[ ]</t>
        </is>
      </c>
      <c r="I33" s="9" t="inlineStr"/>
      <c r="J33" s="9" t="inlineStr"/>
    </row>
    <row r="34">
      <c r="A34" s="8" t="n">
        <v>30</v>
      </c>
      <c r="B34" s="8" t="inlineStr">
        <is>
          <t>2026-08-25</t>
        </is>
      </c>
      <c r="C34" s="9" t="inlineStr">
        <is>
          <t>Proslovy</t>
        </is>
      </c>
      <c r="D34" s="8" t="inlineStr">
        <is>
          <t>Kikinka</t>
        </is>
      </c>
      <c r="E34" s="12" t="inlineStr">
        <is>
          <t>important</t>
        </is>
      </c>
      <c r="F34" s="10" t="n">
        <v>0</v>
      </c>
      <c r="G34" s="10" t="inlineStr"/>
      <c r="H34" s="8" t="inlineStr">
        <is>
          <t>[ ]</t>
        </is>
      </c>
      <c r="I34" s="9" t="inlineStr"/>
      <c r="J34" s="9" t="inlineStr"/>
    </row>
    <row r="35">
      <c r="A35" s="8" t="n">
        <v>31</v>
      </c>
      <c r="B35" s="8" t="inlineStr">
        <is>
          <t>2026-08-25</t>
        </is>
      </c>
      <c r="C35" s="9" t="inlineStr">
        <is>
          <t>Líčení / nehty / vlasy (Mamka)</t>
        </is>
      </c>
      <c r="D35" s="8" t="inlineStr">
        <is>
          <t>Mamka</t>
        </is>
      </c>
      <c r="E35" s="12" t="inlineStr">
        <is>
          <t>important</t>
        </is>
      </c>
      <c r="F35" s="10" t="n">
        <v>1500</v>
      </c>
      <c r="G35" s="10" t="inlineStr"/>
      <c r="H35" s="8" t="inlineStr">
        <is>
          <t>[ ]</t>
        </is>
      </c>
      <c r="I35" s="9" t="inlineStr"/>
      <c r="J35" s="9" t="inlineStr"/>
    </row>
    <row r="36">
      <c r="A36" s="8" t="n">
        <v>32</v>
      </c>
      <c r="B36" s="8" t="inlineStr">
        <is>
          <t>2026-08-25</t>
        </is>
      </c>
      <c r="C36" s="9" t="inlineStr">
        <is>
          <t>Střih a úprava (Taťka)</t>
        </is>
      </c>
      <c r="D36" s="8" t="inlineStr">
        <is>
          <t>Taťka</t>
        </is>
      </c>
      <c r="E36" s="12" t="inlineStr">
        <is>
          <t>important</t>
        </is>
      </c>
      <c r="F36" s="10" t="n">
        <v>500</v>
      </c>
      <c r="G36" s="10" t="inlineStr"/>
      <c r="H36" s="8" t="inlineStr">
        <is>
          <t>[ ]</t>
        </is>
      </c>
      <c r="I36" s="9" t="inlineStr"/>
      <c r="J36" s="9" t="inlineStr"/>
    </row>
    <row r="37">
      <c r="A37" s="8" t="n">
        <v>33</v>
      </c>
      <c r="B37" s="8" t="inlineStr">
        <is>
          <t>2026-08-25</t>
        </is>
      </c>
      <c r="C37" s="9" t="inlineStr">
        <is>
          <t>Confetti a prskavky</t>
        </is>
      </c>
      <c r="D37" s="8" t="inlineStr">
        <is>
          <t>Žanetka</t>
        </is>
      </c>
      <c r="E37" s="11" t="inlineStr">
        <is>
          <t>optional</t>
        </is>
      </c>
      <c r="F37" s="10" t="n">
        <v>0</v>
      </c>
      <c r="G37" s="10" t="inlineStr"/>
      <c r="H37" s="8" t="inlineStr">
        <is>
          <t>[ ]</t>
        </is>
      </c>
      <c r="I37" s="9" t="inlineStr"/>
      <c r="J37" s="9" t="inlineStr"/>
    </row>
    <row r="38">
      <c r="A38" s="8" t="n">
        <v>34</v>
      </c>
      <c r="B38" s="8" t="inlineStr">
        <is>
          <t>2026-08-25</t>
        </is>
      </c>
      <c r="C38" s="9" t="inlineStr">
        <is>
          <t>Fotograf / dokumentace</t>
        </is>
      </c>
      <c r="D38" s="8" t="inlineStr">
        <is>
          <t>Děti</t>
        </is>
      </c>
      <c r="E38" s="11" t="inlineStr">
        <is>
          <t>optional</t>
        </is>
      </c>
      <c r="F38" s="10" t="n">
        <v>0</v>
      </c>
      <c r="G38" s="10" t="inlineStr"/>
      <c r="H38" s="8" t="inlineStr">
        <is>
          <t>[ ]</t>
        </is>
      </c>
      <c r="I38" s="9" t="inlineStr"/>
      <c r="J38" s="9" t="inlineStr">
        <is>
          <t>Focení - role Dětí</t>
        </is>
      </c>
    </row>
    <row r="39">
      <c r="A39" s="8" t="n">
        <v>35</v>
      </c>
      <c r="B39" s="8" t="inlineStr">
        <is>
          <t>2026-09-05</t>
        </is>
      </c>
      <c r="C39" s="9" t="inlineStr">
        <is>
          <t>Změna příjmení (po svatbě)</t>
        </is>
      </c>
      <c r="D39" s="8" t="inlineStr">
        <is>
          <t>Mamka</t>
        </is>
      </c>
      <c r="E39" s="6" t="inlineStr">
        <is>
          <t>mandatory</t>
        </is>
      </c>
      <c r="F39" s="10" t="n">
        <v>0</v>
      </c>
      <c r="G39" s="10" t="inlineStr"/>
      <c r="H39" s="8" t="inlineStr">
        <is>
          <t>[ ]</t>
        </is>
      </c>
      <c r="I39" s="9" t="inlineStr"/>
      <c r="J39" s="9" t="inlineStr"/>
    </row>
    <row r="40">
      <c r="A40" s="8" t="n">
        <v>36</v>
      </c>
      <c r="B40" s="8" t="inlineStr">
        <is>
          <t>2026-05-25</t>
        </is>
      </c>
      <c r="C40" s="9" t="inlineStr">
        <is>
          <t>Schůzka - prstýnky (Dáda+Taťka+Žanetka)</t>
        </is>
      </c>
      <c r="D40" s="8" t="inlineStr">
        <is>
          <t>Dáda, Taťka, Žanetka</t>
        </is>
      </c>
      <c r="E40" s="12" t="inlineStr">
        <is>
          <t>important</t>
        </is>
      </c>
      <c r="F40" s="10" t="n">
        <v>0</v>
      </c>
      <c r="G40" s="10" t="inlineStr"/>
      <c r="H40" s="8" t="inlineStr">
        <is>
          <t>[ ]</t>
        </is>
      </c>
      <c r="I40" s="9" t="inlineStr"/>
      <c r="J40" s="9" t="inlineStr">
        <is>
          <t>výběr prstýnků dle Excelu</t>
        </is>
      </c>
    </row>
    <row r="42">
      <c r="A42" s="13" t="inlineStr">
        <is>
          <t>SHRNUTI ROZPOCTU</t>
        </is>
      </c>
    </row>
    <row r="43">
      <c r="A43" s="3" t="inlineStr">
        <is>
          <t>Kategorie</t>
        </is>
      </c>
      <c r="B43" s="3" t="inlineStr">
        <is>
          <t>Pocet ukolu</t>
        </is>
      </c>
      <c r="C43" s="3" t="inlineStr">
        <is>
          <t>Plan (Kc)</t>
        </is>
      </c>
      <c r="D43" s="3" t="inlineStr">
        <is>
          <t>Skutecnost (Kc)</t>
        </is>
      </c>
      <c r="E43" s="3" t="inlineStr">
        <is>
          <t>Rozdil</t>
        </is>
      </c>
    </row>
    <row r="44">
      <c r="A44" s="14" t="inlineStr">
        <is>
          <t>Povinne (mandatory)</t>
        </is>
      </c>
      <c r="B44" s="15">
        <f>COUNTIF(E5:E40,"mandatory")</f>
        <v/>
      </c>
      <c r="C44" s="16">
        <f>SUMIF(E5:E40,"mandatory",F5:F40)</f>
        <v/>
      </c>
      <c r="D44" s="16">
        <f>SUMIF(E5:E40,"mandatory",G5:G40)</f>
        <v/>
      </c>
      <c r="E44" s="16">
        <f>C44-D44</f>
        <v/>
      </c>
    </row>
    <row r="45">
      <c r="A45" s="17" t="inlineStr">
        <is>
          <t>Dulezite (important)</t>
        </is>
      </c>
      <c r="B45" s="15">
        <f>COUNTIF(E5:E40,"important")</f>
        <v/>
      </c>
      <c r="C45" s="16">
        <f>SUMIF(E5:E40,"important",F5:F40)</f>
        <v/>
      </c>
      <c r="D45" s="16">
        <f>SUMIF(E5:E40,"important",G5:G40)</f>
        <v/>
      </c>
      <c r="E45" s="16">
        <f>C45-D45</f>
        <v/>
      </c>
    </row>
    <row r="46">
      <c r="A46" s="18" t="inlineStr">
        <is>
          <t>Volitelne (optional)</t>
        </is>
      </c>
      <c r="B46" s="15">
        <f>COUNTIF(E5:E40,"optional")</f>
        <v/>
      </c>
      <c r="C46" s="16">
        <f>SUMIF(E5:E40,"optional",F5:F40)</f>
        <v/>
      </c>
      <c r="D46" s="16">
        <f>SUMIF(E5:E40,"optional",G5:G40)</f>
        <v/>
      </c>
      <c r="E46" s="16">
        <f>C46-D46</f>
        <v/>
      </c>
    </row>
    <row r="47">
      <c r="A47" s="19" t="inlineStr">
        <is>
          <t>CELKEM</t>
        </is>
      </c>
      <c r="B47" s="19">
        <f>SUM(B44:B46)</f>
        <v/>
      </c>
      <c r="C47" s="20">
        <f>SUM(C44:C46)</f>
        <v/>
      </c>
      <c r="D47" s="20">
        <f>SUM(D44:D46)</f>
        <v/>
      </c>
      <c r="E47" s="20">
        <f>C47-D47</f>
        <v/>
      </c>
    </row>
    <row r="49">
      <c r="A49" s="21" t="inlineStr">
        <is>
          <t>LIMIT: Plan nesmi prekrocit 100 000 Kc. Pri zmene ceny najit kompenzaci jinde.</t>
        </is>
      </c>
    </row>
  </sheetData>
  <autoFilter ref="A4:J40"/>
  <mergeCells count="4">
    <mergeCell ref="A49:E49"/>
    <mergeCell ref="A1:J1"/>
    <mergeCell ref="A42:E42"/>
    <mergeCell ref="A2:J2"/>
  </mergeCells>
  <conditionalFormatting sqref="C47">
    <cfRule type="cellIs" priority="1" operator="greaterThan" dxfId="0">
      <formula>100000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Rozpocet podle osoby</t>
        </is>
      </c>
    </row>
    <row r="3">
      <c r="A3" s="3" t="inlineStr">
        <is>
          <t>Osoba</t>
        </is>
      </c>
      <c r="B3" s="3" t="inlineStr">
        <is>
          <t>Pocet ukolu</t>
        </is>
      </c>
      <c r="C3" s="3" t="inlineStr">
        <is>
          <t>Plan (Kc)</t>
        </is>
      </c>
      <c r="D3" s="3" t="inlineStr">
        <is>
          <t>Skutecnost (Kc)</t>
        </is>
      </c>
      <c r="E3" s="3" t="inlineStr">
        <is>
          <t>Rozdil</t>
        </is>
      </c>
    </row>
    <row r="4">
      <c r="A4" s="22" t="inlineStr">
        <is>
          <t>Mamka</t>
        </is>
      </c>
      <c r="B4" s="15">
        <f>COUNTIF(Rozpocet!D5:D40,"*"&amp;A4&amp;"*")</f>
        <v/>
      </c>
      <c r="C4" s="23">
        <f>SUMIF(Rozpocet!D5:D40,"*"&amp;A4&amp;"*",Rozpocet!F5:F40)</f>
        <v/>
      </c>
      <c r="D4" s="23">
        <f>SUMIF(Rozpocet!D5:D40,"*"&amp;A4&amp;"*",Rozpocet!G5:G40)</f>
        <v/>
      </c>
      <c r="E4" s="23">
        <f>C4-D4</f>
        <v/>
      </c>
    </row>
    <row r="5">
      <c r="A5" s="22" t="inlineStr">
        <is>
          <t>Tatka</t>
        </is>
      </c>
      <c r="B5" s="15">
        <f>COUNTIF(Rozpocet!D5:D40,"*"&amp;A5&amp;"*")</f>
        <v/>
      </c>
      <c r="C5" s="23">
        <f>SUMIF(Rozpocet!D5:D40,"*"&amp;A5&amp;"*",Rozpocet!F5:F40)</f>
        <v/>
      </c>
      <c r="D5" s="23">
        <f>SUMIF(Rozpocet!D5:D40,"*"&amp;A5&amp;"*",Rozpocet!G5:G40)</f>
        <v/>
      </c>
      <c r="E5" s="23">
        <f>C5-D5</f>
        <v/>
      </c>
    </row>
    <row r="6">
      <c r="A6" s="22" t="inlineStr">
        <is>
          <t>Zanetka</t>
        </is>
      </c>
      <c r="B6" s="15">
        <f>COUNTIF(Rozpocet!D5:D40,"*"&amp;A6&amp;"*")</f>
        <v/>
      </c>
      <c r="C6" s="23">
        <f>SUMIF(Rozpocet!D5:D40,"*"&amp;A6&amp;"*",Rozpocet!F5:F40)</f>
        <v/>
      </c>
      <c r="D6" s="23">
        <f>SUMIF(Rozpocet!D5:D40,"*"&amp;A6&amp;"*",Rozpocet!G5:G40)</f>
        <v/>
      </c>
      <c r="E6" s="23">
        <f>C6-D6</f>
        <v/>
      </c>
    </row>
    <row r="7">
      <c r="A7" s="22" t="inlineStr">
        <is>
          <t>Kikinka</t>
        </is>
      </c>
      <c r="B7" s="15">
        <f>COUNTIF(Rozpocet!D5:D40,"*"&amp;A7&amp;"*")</f>
        <v/>
      </c>
      <c r="C7" s="23">
        <f>SUMIF(Rozpocet!D5:D40,"*"&amp;A7&amp;"*",Rozpocet!F5:F40)</f>
        <v/>
      </c>
      <c r="D7" s="23">
        <f>SUMIF(Rozpocet!D5:D40,"*"&amp;A7&amp;"*",Rozpocet!G5:G40)</f>
        <v/>
      </c>
      <c r="E7" s="23">
        <f>C7-D7</f>
        <v/>
      </c>
    </row>
    <row r="8">
      <c r="A8" s="22" t="inlineStr">
        <is>
          <t>Deti</t>
        </is>
      </c>
      <c r="B8" s="15">
        <f>COUNTIF(Rozpocet!D5:D40,"*"&amp;A8&amp;"*")</f>
        <v/>
      </c>
      <c r="C8" s="23">
        <f>SUMIF(Rozpocet!D5:D40,"*"&amp;A8&amp;"*",Rozpocet!F5:F40)</f>
        <v/>
      </c>
      <c r="D8" s="23">
        <f>SUMIF(Rozpocet!D5:D40,"*"&amp;A8&amp;"*",Rozpocet!G5:G40)</f>
        <v/>
      </c>
      <c r="E8" s="23">
        <f>C8-D8</f>
        <v/>
      </c>
    </row>
    <row r="9">
      <c r="A9" s="22" t="inlineStr">
        <is>
          <t>Dada</t>
        </is>
      </c>
      <c r="B9" s="15">
        <f>COUNTIF(Rozpocet!D5:D40,"*"&amp;A9&amp;"*")</f>
        <v/>
      </c>
      <c r="C9" s="23">
        <f>SUMIF(Rozpocet!D5:D40,"*"&amp;A9&amp;"*",Rozpocet!F5:F40)</f>
        <v/>
      </c>
      <c r="D9" s="23">
        <f>SUMIF(Rozpocet!D5:D40,"*"&amp;A9&amp;"*",Rozpocet!G5:G40)</f>
        <v/>
      </c>
      <c r="E9" s="23">
        <f>C9-D9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2026-05-21T18:35:59Z</dcterms:created>
  <dcterms:modified xsi:type="dcterms:W3CDTF">2026-05-21T18:35:59Z</dcterms:modified>
</cp:coreProperties>
</file>